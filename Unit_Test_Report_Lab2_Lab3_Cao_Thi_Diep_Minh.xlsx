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ông tin" state="visible" r:id="rId4"/>
    <sheet sheetId="2" name="Lab2_Unit_Tests" state="visible" r:id="rId5"/>
    <sheet sheetId="3" name="Lab3_Unit_Tests" state="visible" r:id="rId6"/>
    <sheet sheetId="4" name="Lab3_Finding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<sst xmlns="http://schemas.openxmlformats.org/spreadsheetml/2006/main" count="561" uniqueCount="252">
  <si>
    <t>UNIT TEST REPORT — LAB 2 &amp; LAB 3</t>
  </si>
  <si>
    <t>Họ và tên</t>
  </si>
  <si>
    <t>Cao Thị Diệp Minh</t>
  </si>
  <si>
    <t>Môn học</t>
  </si>
  <si>
    <t>SWT301 — Software Testing</t>
  </si>
  <si>
    <t>Phạm vi</t>
  </si>
  <si>
    <t>Lab 2: JUnit 5 Account Registration; Lab 3: Regression tests sau static analysis</t>
  </si>
  <si>
    <t>Ngày tạo</t>
  </si>
  <si>
    <t>Quy ước</t>
  </si>
  <si>
    <t>Chỉ chuyển Status sang Pass/Fail sau khi chạy test và điền Actual Result/Evidence.</t>
  </si>
  <si>
    <t>LAB 2 — ACCOUNT SERVICE UNIT TEST CASES</t>
  </si>
  <si>
    <t>Người thực hiện: Cao Thị Diệp Minh | Trạng thái mặc định: Not Run — cập nhật Actual Result và Status sau khi chạy thực tế.</t>
  </si>
  <si>
    <t>Test Case ID</t>
  </si>
  <si>
    <t>Class/Module</t>
  </si>
  <si>
    <t>Method</t>
  </si>
  <si>
    <t>Mục tiêu kiểm thử</t>
  </si>
  <si>
    <t>Input / Precondition</t>
  </si>
  <si>
    <t>Expected Result</t>
  </si>
  <si>
    <t>Test Type</t>
  </si>
  <si>
    <t>Priority</t>
  </si>
  <si>
    <t>Actual Result</t>
  </si>
  <si>
    <t>Status</t>
  </si>
  <si>
    <t>Evidence</t>
  </si>
  <si>
    <t>Ghi chú</t>
  </si>
  <si>
    <t>L2-TC01</t>
  </si>
  <si>
    <t>AccountService</t>
  </si>
  <si>
    <t>registerAccount</t>
  </si>
  <si>
    <t>Đăng ký hợp lệ</t>
  </si>
  <si>
    <t>john123 / pass123 / john@example.com</t>
  </si>
  <si>
    <t>true</t>
  </si>
  <si>
    <t>Normal</t>
  </si>
  <si>
    <t>High</t>
  </si>
  <si>
    <t/>
  </si>
  <si>
    <t>Not Run</t>
  </si>
  <si>
    <t>L2-TC02</t>
  </si>
  <si>
    <t>Username rỗng</t>
  </si>
  <si>
    <t>"" / pass123 / john@example.com</t>
  </si>
  <si>
    <t>false</t>
  </si>
  <si>
    <t>Negative</t>
  </si>
  <si>
    <t>L2-TC03</t>
  </si>
  <si>
    <t>Password ngắn</t>
  </si>
  <si>
    <t>alice / short / alice@mail.com</t>
  </si>
  <si>
    <t>L2-TC04</t>
  </si>
  <si>
    <t>Email thiếu @</t>
  </si>
  <si>
    <t>bob123 / password / bobmail.com</t>
  </si>
  <si>
    <t>L2-TC05</t>
  </si>
  <si>
    <t>Đăng ký hợp lệ thứ hai</t>
  </si>
  <si>
    <t>carol / password / carol@domain.com</t>
  </si>
  <si>
    <t>L2-TC06</t>
  </si>
  <si>
    <t>Username null</t>
  </si>
  <si>
    <t>null / pass123 / john@example.com</t>
  </si>
  <si>
    <t>Null</t>
  </si>
  <si>
    <t>L2-TC07</t>
  </si>
  <si>
    <t>Password null</t>
  </si>
  <si>
    <t>john123 / null / john@example.com</t>
  </si>
  <si>
    <t>L2-TC08</t>
  </si>
  <si>
    <t>Email null</t>
  </si>
  <si>
    <t>john123 / pass123 / null</t>
  </si>
  <si>
    <t>L2-TC09</t>
  </si>
  <si>
    <t>Password đúng 6 ký tự</t>
  </si>
  <si>
    <t>john123 / abc123 / john@example.com</t>
  </si>
  <si>
    <t>Boundary</t>
  </si>
  <si>
    <t>L2-TC10</t>
  </si>
  <si>
    <t>Password đúng 7 ký tự</t>
  </si>
  <si>
    <t>john123 / abc1234 / john@example.com</t>
  </si>
  <si>
    <t>L2-TC11</t>
  </si>
  <si>
    <t>isValidEmail</t>
  </si>
  <si>
    <t>Email hợp lệ</t>
  </si>
  <si>
    <t>student@fpt.edu.vn</t>
  </si>
  <si>
    <t>Medium</t>
  </si>
  <si>
    <t>L2-TC12</t>
  </si>
  <si>
    <t>Email thiếu local part</t>
  </si>
  <si>
    <t>@domain.com</t>
  </si>
  <si>
    <t>L2-TC13</t>
  </si>
  <si>
    <t>Email thiếu domain</t>
  </si>
  <si>
    <t>user@</t>
  </si>
  <si>
    <t>L2-TC14</t>
  </si>
  <si>
    <t>Email chứa khoảng trắng</t>
  </si>
  <si>
    <t>user name@domain.com</t>
  </si>
  <si>
    <t>L2-TC15</t>
  </si>
  <si>
    <t>CSV Parameterized Test</t>
  </si>
  <si>
    <t>@CsvFileSource</t>
  </si>
  <si>
    <t>Bỏ qua header CSV</t>
  </si>
  <si>
    <t>numLinesToSkip = 1</t>
  </si>
  <si>
    <t>5 data rows được thực thi, không lỗi conversion</t>
  </si>
  <si>
    <t>Integration</t>
  </si>
  <si>
    <t>LAB 3 — STATIC ANALYSIS REGRESSION TEST CASES</t>
  </si>
  <si>
    <t>L3-TC01</t>
  </si>
  <si>
    <t>InsecureLogin</t>
  </si>
  <si>
    <t>login/authenticate</t>
  </si>
  <si>
    <t>Đúng username và password cấu hình</t>
  </si>
  <si>
    <t>admin / secure123 / secure123</t>
  </si>
  <si>
    <t>true hoặc log Login successful</t>
  </si>
  <si>
    <t>L3-TC02</t>
  </si>
  <si>
    <t>Sai password</t>
  </si>
  <si>
    <t>admin / wrong / secure123</t>
  </si>
  <si>
    <t>false hoặc log Login failed</t>
  </si>
  <si>
    <t>L3-TC03</t>
  </si>
  <si>
    <t>null / secure123 / secure123</t>
  </si>
  <si>
    <t>Không NPE; xác thực thất bại</t>
  </si>
  <si>
    <t>L3-TC04</t>
  </si>
  <si>
    <t>admin / null / secure123</t>
  </si>
  <si>
    <t>L3-TC05</t>
  </si>
  <si>
    <t>ADMIN_PASSWORD chưa cấu hình</t>
  </si>
  <si>
    <t>admin / secure123 / null</t>
  </si>
  <si>
    <t>Configuration</t>
  </si>
  <si>
    <t>L3-TC06</t>
  </si>
  <si>
    <t>printUserInfo</t>
  </si>
  <si>
    <t>User hợp lệ</t>
  </si>
  <si>
    <t>Không exception; ghi log user</t>
  </si>
  <si>
    <t>L3-TC07</t>
  </si>
  <si>
    <t>User null</t>
  </si>
  <si>
    <t>null</t>
  </si>
  <si>
    <t>Không exception; cảnh báo dữ liệu thiếu</t>
  </si>
  <si>
    <t>L3-TC08</t>
  </si>
  <si>
    <t>NullPointerExample</t>
  </si>
  <si>
    <t>Phương thức xử lý chuỗi</t>
  </si>
  <si>
    <t>Input null</t>
  </si>
  <si>
    <t>Không NPE; xử lý theo contract</t>
  </si>
  <si>
    <t>L3-TC09</t>
  </si>
  <si>
    <t>Input hợp lệ</t>
  </si>
  <si>
    <t>hello</t>
  </si>
  <si>
    <t>Kết quả đúng theo logic</t>
  </si>
  <si>
    <t>L3-TC10</t>
  </si>
  <si>
    <t>SQLInjectionExample</t>
  </si>
  <si>
    <t>findUser</t>
  </si>
  <si>
    <t>Username bình thường</t>
  </si>
  <si>
    <t>john</t>
  </si>
  <si>
    <t>Dùng PreparedStatement; query thành công</t>
  </si>
  <si>
    <t>L3-TC11</t>
  </si>
  <si>
    <t>Payload SQL injection</t>
  </si>
  <si>
    <t>' OR '1'='1</t>
  </si>
  <si>
    <t>Payload được coi là dữ liệu; không thay đổi cấu trúc SQL</t>
  </si>
  <si>
    <t>Security</t>
  </si>
  <si>
    <t>Critical</t>
  </si>
  <si>
    <t>L3-TC12</t>
  </si>
  <si>
    <t>ResourceLeakExample</t>
  </si>
  <si>
    <t>readFirstByte</t>
  </si>
  <si>
    <t>Đọc file tồn tại</t>
  </si>
  <si>
    <t>temporary valid file</t>
  </si>
  <si>
    <t>Đọc đúng byte và đóng resource</t>
  </si>
  <si>
    <t>L3-TC13</t>
  </si>
  <si>
    <t>File không tồn tại</t>
  </si>
  <si>
    <t>missing.txt</t>
  </si>
  <si>
    <t>Ném IOException phù hợp; không rò rỉ resource</t>
  </si>
  <si>
    <t>L3-TC14</t>
  </si>
  <si>
    <t>PathTraversalExample</t>
  </si>
  <si>
    <t>readFile</t>
  </si>
  <si>
    <t>Đọc file trong thư mục cho phép</t>
  </si>
  <si>
    <t>allowed.txt</t>
  </si>
  <si>
    <t>Đọc thành công</t>
  </si>
  <si>
    <t>L3-TC15</t>
  </si>
  <si>
    <t>Traversal ra ngoài thư mục</t>
  </si>
  <si>
    <t>../../secret.txt</t>
  </si>
  <si>
    <t>Ném SecurityException / từ chối truy cập</t>
  </si>
  <si>
    <t>L3-TC16</t>
  </si>
  <si>
    <t>HardcodedCredentialsExample</t>
  </si>
  <si>
    <t>getDatabasePassword</t>
  </si>
  <si>
    <t>Biến môi trường chưa cấu hình</t>
  </si>
  <si>
    <t>DB_PASSWORD=null</t>
  </si>
  <si>
    <t>Ném IllegalStateException rõ ràng</t>
  </si>
  <si>
    <t>L3-TC17</t>
  </si>
  <si>
    <t>CatchGenericExceptionExample</t>
  </si>
  <si>
    <t>Xử lý file/input</t>
  </si>
  <si>
    <t>Lỗi IO cụ thể</t>
  </si>
  <si>
    <t>Invalid/missing file</t>
  </si>
  <si>
    <t>Bắt IOException cụ thể, giữ cause</t>
  </si>
  <si>
    <t>L3-TC18</t>
  </si>
  <si>
    <t>OvercatchingExceptionExample</t>
  </si>
  <si>
    <t>parseData</t>
  </si>
  <si>
    <t>Chuỗi số sai định dạng</t>
  </si>
  <si>
    <t>abc</t>
  </si>
  <si>
    <t>Ném IllegalArgumentException có cause</t>
  </si>
  <si>
    <t>L3-TC19</t>
  </si>
  <si>
    <t>ViolationOfEncapsulationExample</t>
  </si>
  <si>
    <t>getUsers</t>
  </si>
  <si>
    <t>Thử sửa danh sách trả về</t>
  </si>
  <si>
    <t>getUsers().add("x")</t>
  </si>
  <si>
    <t>Ném UnsupportedOperationException</t>
  </si>
  <si>
    <t>Security/Design</t>
  </si>
  <si>
    <t>L3-TC20</t>
  </si>
  <si>
    <t>SonarQube Regression</t>
  </si>
  <si>
    <t>Analyze Current File</t>
  </si>
  <si>
    <t>Phân tích code sau sửa</t>
  </si>
  <si>
    <t>Các file Java đã refactor</t>
  </si>
  <si>
    <t>Không còn issue mục tiêu; ghi nhận issue còn lại nếu có</t>
  </si>
  <si>
    <t>Static analysis</t>
  </si>
  <si>
    <t>LAB 3 — STATIC ANALYSIS FINDINGS &amp; REMEDIATION</t>
  </si>
  <si>
    <t>Điền Rule Key, ảnh before/after và đổi Verification Status sau khi phân tích thực tế bằng SonarQube for IDE.</t>
  </si>
  <si>
    <t>Finding ID</t>
  </si>
  <si>
    <t>File</t>
  </si>
  <si>
    <t>Issue</t>
  </si>
  <si>
    <t>Category</t>
  </si>
  <si>
    <t>Severity</t>
  </si>
  <si>
    <t>Remediation</t>
  </si>
  <si>
    <t>Verification Status</t>
  </si>
  <si>
    <t>Evidence/Rule Key</t>
  </si>
  <si>
    <t>L3-F01</t>
  </si>
  <si>
    <t>InsecureLogin.java</t>
  </si>
  <si>
    <t>Hardcoded credential</t>
  </si>
  <si>
    <t>Security Hotspot</t>
  </si>
  <si>
    <t>Dùng biến môi trường/cấu hình; không lưu secret trong source</t>
  </si>
  <si>
    <t>Not Verified</t>
  </si>
  <si>
    <t>L3-F02</t>
  </si>
  <si>
    <t>System.out thay vì Logger</t>
  </si>
  <si>
    <t>Code Smell</t>
  </si>
  <si>
    <t>Dùng java.util.logging.Logger</t>
  </si>
  <si>
    <t>L3-F03</t>
  </si>
  <si>
    <t>NullPointerExample.java</t>
  </si>
  <si>
    <t>Possible null dereference</t>
  </si>
  <si>
    <t>Bug</t>
  </si>
  <si>
    <t>Null check hoặc Objects.equals</t>
  </si>
  <si>
    <t>L3-F04</t>
  </si>
  <si>
    <t>SQLInjectionExample.java</t>
  </si>
  <si>
    <t>Dynamic SQL từ input</t>
  </si>
  <si>
    <t>Vulnerability</t>
  </si>
  <si>
    <t>PreparedStatement với placeholder</t>
  </si>
  <si>
    <t>L3-F05</t>
  </si>
  <si>
    <t>ResourceLeakExample.java</t>
  </si>
  <si>
    <t>Resource không được đóng</t>
  </si>
  <si>
    <t>Try-with-resources</t>
  </si>
  <si>
    <t>L3-F06</t>
  </si>
  <si>
    <t>PathTraversalExample.java</t>
  </si>
  <si>
    <t>Đường dẫn người dùng chưa kiểm soát</t>
  </si>
  <si>
    <t>normalize và kiểm tra startsWith base directory</t>
  </si>
  <si>
    <t>L3-F07</t>
  </si>
  <si>
    <t>CatchGenericExceptionExample.java</t>
  </si>
  <si>
    <t>Bắt Exception quá rộng</t>
  </si>
  <si>
    <t>Bắt exception cụ thể và giữ nguyên cause</t>
  </si>
  <si>
    <t>L3-F08</t>
  </si>
  <si>
    <t>UnreachableCodeExample.java</t>
  </si>
  <si>
    <t>Unreachable/dead code</t>
  </si>
  <si>
    <t>Low</t>
  </si>
  <si>
    <t>Xóa hoặc di chuyển code trước return</t>
  </si>
  <si>
    <t>L3-F09</t>
  </si>
  <si>
    <t>MissingOverrideAnnotationExample.java</t>
  </si>
  <si>
    <t>Thiếu @Override</t>
  </si>
  <si>
    <t>Thêm @Override cho phương thức ghi đè</t>
  </si>
  <si>
    <t>L3-F10</t>
  </si>
  <si>
    <t>ViolationOfEncapsulationExample.java</t>
  </si>
  <si>
    <t>Lộ mutable collection</t>
  </si>
  <si>
    <t>Private field và unmodifiable view/copy</t>
  </si>
  <si>
    <t>TEST EXECUTION SUMMARY</t>
  </si>
  <si>
    <t>Lab</t>
  </si>
  <si>
    <t>Total</t>
  </si>
  <si>
    <t>Pass</t>
  </si>
  <si>
    <t>Fail</t>
  </si>
  <si>
    <t>Blocked</t>
  </si>
  <si>
    <t>Pass Rate</t>
  </si>
  <si>
    <t>Lab 2</t>
  </si>
  <si>
    <t>Cập nhật tự động từ cột Status</t>
  </si>
  <si>
    <t>Lab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</si>
</sst>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i/>
      <color rgb="FF59595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2" customWidth="1"/>
    <col min="2" max="6" width="20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3"/>
      <c r="D3" s="3"/>
      <c r="E3" s="3"/>
      <c r="F3" s="3"/>
    </row>
    <row r="4" spans="1:6" x14ac:dyDescent="0.25">
      <c r="A4" s="2" t="s">
        <v>3</v>
      </c>
      <c r="B4" s="3" t="s">
        <v>4</v>
      </c>
      <c r="C4" s="3"/>
      <c r="D4" s="3"/>
      <c r="E4" s="3"/>
      <c r="F4" s="3"/>
    </row>
    <row r="5" spans="1:6" x14ac:dyDescent="0.25">
      <c r="A5" s="2" t="s">
        <v>5</v>
      </c>
      <c r="B5" s="3" t="s">
        <v>6</v>
      </c>
      <c r="C5" s="3"/>
      <c r="D5" s="3"/>
      <c r="E5" s="3"/>
      <c r="F5" s="3"/>
    </row>
    <row r="6" spans="1:6" x14ac:dyDescent="0.25">
      <c r="A6" s="2" t="s">
        <v>7</v>
      </c>
      <c r="B6" s="4">
        <v>46223.35379436343</v>
      </c>
      <c r="C6" s="4"/>
      <c r="D6" s="4"/>
      <c r="E6" s="4"/>
      <c r="F6" s="4"/>
    </row>
    <row r="7" spans="1:6" x14ac:dyDescent="0.25">
      <c r="A7" s="2" t="s">
        <v>8</v>
      </c>
      <c r="B7" s="3" t="s">
        <v>9</v>
      </c>
      <c r="C7" s="3"/>
      <c r="D7" s="3"/>
      <c r="E7" s="3"/>
      <c r="F7" s="3"/>
    </row>
  </sheetData>
  <mergeCells count="6">
    <mergeCell ref="A1:F1"/>
    <mergeCell ref="B3:F3"/>
    <mergeCell ref="B4:F4"/>
    <mergeCell ref="B5:F5"/>
    <mergeCell ref="B6:F6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2" customWidth="1"/>
    <col min="4" max="4" width="30" customWidth="1"/>
    <col min="5" max="5" width="32" customWidth="1"/>
    <col min="6" max="6" width="34" customWidth="1"/>
    <col min="7" max="7" width="16" customWidth="1"/>
    <col min="8" max="8" width="12" customWidth="1"/>
    <col min="9" max="9" width="28" customWidth="1"/>
    <col min="10" max="10" width="13" customWidth="1"/>
    <col min="11" max="12" width="25" customWidth="1"/>
  </cols>
  <sheetData>
    <row r="1" ht="34" customHeight="1" spans="1:12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4" customHeight="1" spans="1:12" s="6" customForma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</row>
    <row r="4" ht="50" customHeight="1" spans="1:12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8" t="s">
        <v>33</v>
      </c>
      <c r="K4" s="3" t="s">
        <v>32</v>
      </c>
      <c r="L4" s="3" t="s">
        <v>32</v>
      </c>
    </row>
    <row r="5" ht="50" customHeight="1" spans="1:12" x14ac:dyDescent="0.25">
      <c r="A5" s="3" t="s">
        <v>34</v>
      </c>
      <c r="B5" s="3" t="s">
        <v>25</v>
      </c>
      <c r="C5" s="3" t="s">
        <v>26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31</v>
      </c>
      <c r="I5" s="3" t="s">
        <v>32</v>
      </c>
      <c r="J5" s="8" t="s">
        <v>33</v>
      </c>
      <c r="K5" s="3" t="s">
        <v>32</v>
      </c>
      <c r="L5" s="3" t="s">
        <v>32</v>
      </c>
    </row>
    <row r="6" ht="50" customHeight="1" spans="1:12" x14ac:dyDescent="0.25">
      <c r="A6" s="3" t="s">
        <v>39</v>
      </c>
      <c r="B6" s="3" t="s">
        <v>25</v>
      </c>
      <c r="C6" s="3" t="s">
        <v>26</v>
      </c>
      <c r="D6" s="3" t="s">
        <v>40</v>
      </c>
      <c r="E6" s="3" t="s">
        <v>41</v>
      </c>
      <c r="F6" s="3" t="s">
        <v>37</v>
      </c>
      <c r="G6" s="3" t="s">
        <v>38</v>
      </c>
      <c r="H6" s="3" t="s">
        <v>31</v>
      </c>
      <c r="I6" s="3" t="s">
        <v>32</v>
      </c>
      <c r="J6" s="8" t="s">
        <v>33</v>
      </c>
      <c r="K6" s="3" t="s">
        <v>32</v>
      </c>
      <c r="L6" s="3" t="s">
        <v>32</v>
      </c>
    </row>
    <row r="7" ht="50" customHeight="1" spans="1:12" x14ac:dyDescent="0.25">
      <c r="A7" s="3" t="s">
        <v>42</v>
      </c>
      <c r="B7" s="3" t="s">
        <v>25</v>
      </c>
      <c r="C7" s="3" t="s">
        <v>26</v>
      </c>
      <c r="D7" s="3" t="s">
        <v>43</v>
      </c>
      <c r="E7" s="3" t="s">
        <v>44</v>
      </c>
      <c r="F7" s="3" t="s">
        <v>37</v>
      </c>
      <c r="G7" s="3" t="s">
        <v>38</v>
      </c>
      <c r="H7" s="3" t="s">
        <v>31</v>
      </c>
      <c r="I7" s="3" t="s">
        <v>32</v>
      </c>
      <c r="J7" s="8" t="s">
        <v>33</v>
      </c>
      <c r="K7" s="3" t="s">
        <v>32</v>
      </c>
      <c r="L7" s="3" t="s">
        <v>32</v>
      </c>
    </row>
    <row r="8" ht="50" customHeight="1" spans="1:12" x14ac:dyDescent="0.25">
      <c r="A8" s="3" t="s">
        <v>45</v>
      </c>
      <c r="B8" s="3" t="s">
        <v>25</v>
      </c>
      <c r="C8" s="3" t="s">
        <v>26</v>
      </c>
      <c r="D8" s="3" t="s">
        <v>46</v>
      </c>
      <c r="E8" s="3" t="s">
        <v>47</v>
      </c>
      <c r="F8" s="3" t="s">
        <v>29</v>
      </c>
      <c r="G8" s="3" t="s">
        <v>30</v>
      </c>
      <c r="H8" s="3" t="s">
        <v>31</v>
      </c>
      <c r="I8" s="3" t="s">
        <v>32</v>
      </c>
      <c r="J8" s="8" t="s">
        <v>33</v>
      </c>
      <c r="K8" s="3" t="s">
        <v>32</v>
      </c>
      <c r="L8" s="3" t="s">
        <v>32</v>
      </c>
    </row>
    <row r="9" ht="50" customHeight="1" spans="1:12" x14ac:dyDescent="0.25">
      <c r="A9" s="3" t="s">
        <v>48</v>
      </c>
      <c r="B9" s="3" t="s">
        <v>25</v>
      </c>
      <c r="C9" s="3" t="s">
        <v>26</v>
      </c>
      <c r="D9" s="3" t="s">
        <v>49</v>
      </c>
      <c r="E9" s="3" t="s">
        <v>50</v>
      </c>
      <c r="F9" s="3" t="s">
        <v>37</v>
      </c>
      <c r="G9" s="3" t="s">
        <v>51</v>
      </c>
      <c r="H9" s="3" t="s">
        <v>31</v>
      </c>
      <c r="I9" s="3" t="s">
        <v>32</v>
      </c>
      <c r="J9" s="8" t="s">
        <v>33</v>
      </c>
      <c r="K9" s="3" t="s">
        <v>32</v>
      </c>
      <c r="L9" s="3" t="s">
        <v>32</v>
      </c>
    </row>
    <row r="10" ht="50" customHeight="1" spans="1:12" x14ac:dyDescent="0.25">
      <c r="A10" s="3" t="s">
        <v>52</v>
      </c>
      <c r="B10" s="3" t="s">
        <v>25</v>
      </c>
      <c r="C10" s="3" t="s">
        <v>26</v>
      </c>
      <c r="D10" s="3" t="s">
        <v>53</v>
      </c>
      <c r="E10" s="3" t="s">
        <v>54</v>
      </c>
      <c r="F10" s="3" t="s">
        <v>37</v>
      </c>
      <c r="G10" s="3" t="s">
        <v>51</v>
      </c>
      <c r="H10" s="3" t="s">
        <v>31</v>
      </c>
      <c r="I10" s="3" t="s">
        <v>32</v>
      </c>
      <c r="J10" s="8" t="s">
        <v>33</v>
      </c>
      <c r="K10" s="3" t="s">
        <v>32</v>
      </c>
      <c r="L10" s="3" t="s">
        <v>32</v>
      </c>
    </row>
    <row r="11" ht="50" customHeight="1" spans="1:12" x14ac:dyDescent="0.25">
      <c r="A11" s="3" t="s">
        <v>55</v>
      </c>
      <c r="B11" s="3" t="s">
        <v>25</v>
      </c>
      <c r="C11" s="3" t="s">
        <v>26</v>
      </c>
      <c r="D11" s="3" t="s">
        <v>56</v>
      </c>
      <c r="E11" s="3" t="s">
        <v>57</v>
      </c>
      <c r="F11" s="3" t="s">
        <v>37</v>
      </c>
      <c r="G11" s="3" t="s">
        <v>51</v>
      </c>
      <c r="H11" s="3" t="s">
        <v>31</v>
      </c>
      <c r="I11" s="3" t="s">
        <v>32</v>
      </c>
      <c r="J11" s="8" t="s">
        <v>33</v>
      </c>
      <c r="K11" s="3" t="s">
        <v>32</v>
      </c>
      <c r="L11" s="3" t="s">
        <v>32</v>
      </c>
    </row>
    <row r="12" ht="50" customHeight="1" spans="1:12" x14ac:dyDescent="0.25">
      <c r="A12" s="3" t="s">
        <v>58</v>
      </c>
      <c r="B12" s="3" t="s">
        <v>25</v>
      </c>
      <c r="C12" s="3" t="s">
        <v>26</v>
      </c>
      <c r="D12" s="3" t="s">
        <v>59</v>
      </c>
      <c r="E12" s="3" t="s">
        <v>60</v>
      </c>
      <c r="F12" s="3" t="s">
        <v>37</v>
      </c>
      <c r="G12" s="3" t="s">
        <v>61</v>
      </c>
      <c r="H12" s="3" t="s">
        <v>31</v>
      </c>
      <c r="I12" s="3" t="s">
        <v>32</v>
      </c>
      <c r="J12" s="8" t="s">
        <v>33</v>
      </c>
      <c r="K12" s="3" t="s">
        <v>32</v>
      </c>
      <c r="L12" s="3" t="s">
        <v>32</v>
      </c>
    </row>
    <row r="13" ht="50" customHeight="1" spans="1:12" x14ac:dyDescent="0.25">
      <c r="A13" s="3" t="s">
        <v>62</v>
      </c>
      <c r="B13" s="3" t="s">
        <v>25</v>
      </c>
      <c r="C13" s="3" t="s">
        <v>26</v>
      </c>
      <c r="D13" s="3" t="s">
        <v>63</v>
      </c>
      <c r="E13" s="3" t="s">
        <v>64</v>
      </c>
      <c r="F13" s="3" t="s">
        <v>29</v>
      </c>
      <c r="G13" s="3" t="s">
        <v>61</v>
      </c>
      <c r="H13" s="3" t="s">
        <v>31</v>
      </c>
      <c r="I13" s="3" t="s">
        <v>32</v>
      </c>
      <c r="J13" s="8" t="s">
        <v>33</v>
      </c>
      <c r="K13" s="3" t="s">
        <v>32</v>
      </c>
      <c r="L13" s="3" t="s">
        <v>32</v>
      </c>
    </row>
    <row r="14" ht="50" customHeight="1" spans="1:12" x14ac:dyDescent="0.25">
      <c r="A14" s="3" t="s">
        <v>65</v>
      </c>
      <c r="B14" s="3" t="s">
        <v>25</v>
      </c>
      <c r="C14" s="3" t="s">
        <v>66</v>
      </c>
      <c r="D14" s="3" t="s">
        <v>67</v>
      </c>
      <c r="E14" s="3" t="s">
        <v>68</v>
      </c>
      <c r="F14" s="3" t="s">
        <v>29</v>
      </c>
      <c r="G14" s="3" t="s">
        <v>30</v>
      </c>
      <c r="H14" s="3" t="s">
        <v>69</v>
      </c>
      <c r="I14" s="3" t="s">
        <v>32</v>
      </c>
      <c r="J14" s="8" t="s">
        <v>33</v>
      </c>
      <c r="K14" s="3" t="s">
        <v>32</v>
      </c>
      <c r="L14" s="3" t="s">
        <v>32</v>
      </c>
    </row>
    <row r="15" ht="50" customHeight="1" spans="1:12" x14ac:dyDescent="0.25">
      <c r="A15" s="3" t="s">
        <v>70</v>
      </c>
      <c r="B15" s="3" t="s">
        <v>25</v>
      </c>
      <c r="C15" s="3" t="s">
        <v>66</v>
      </c>
      <c r="D15" s="3" t="s">
        <v>71</v>
      </c>
      <c r="E15" s="3" t="s">
        <v>72</v>
      </c>
      <c r="F15" s="3" t="s">
        <v>37</v>
      </c>
      <c r="G15" s="3" t="s">
        <v>38</v>
      </c>
      <c r="H15" s="3" t="s">
        <v>69</v>
      </c>
      <c r="I15" s="3" t="s">
        <v>32</v>
      </c>
      <c r="J15" s="8" t="s">
        <v>33</v>
      </c>
      <c r="K15" s="3" t="s">
        <v>32</v>
      </c>
      <c r="L15" s="3" t="s">
        <v>32</v>
      </c>
    </row>
    <row r="16" ht="50" customHeight="1" spans="1:12" x14ac:dyDescent="0.25">
      <c r="A16" s="3" t="s">
        <v>73</v>
      </c>
      <c r="B16" s="3" t="s">
        <v>25</v>
      </c>
      <c r="C16" s="3" t="s">
        <v>66</v>
      </c>
      <c r="D16" s="3" t="s">
        <v>74</v>
      </c>
      <c r="E16" s="3" t="s">
        <v>75</v>
      </c>
      <c r="F16" s="3" t="s">
        <v>37</v>
      </c>
      <c r="G16" s="3" t="s">
        <v>38</v>
      </c>
      <c r="H16" s="3" t="s">
        <v>69</v>
      </c>
      <c r="I16" s="3" t="s">
        <v>32</v>
      </c>
      <c r="J16" s="8" t="s">
        <v>33</v>
      </c>
      <c r="K16" s="3" t="s">
        <v>32</v>
      </c>
      <c r="L16" s="3" t="s">
        <v>32</v>
      </c>
    </row>
    <row r="17" ht="50" customHeight="1" spans="1:12" x14ac:dyDescent="0.25">
      <c r="A17" s="3" t="s">
        <v>76</v>
      </c>
      <c r="B17" s="3" t="s">
        <v>25</v>
      </c>
      <c r="C17" s="3" t="s">
        <v>66</v>
      </c>
      <c r="D17" s="3" t="s">
        <v>77</v>
      </c>
      <c r="E17" s="3" t="s">
        <v>78</v>
      </c>
      <c r="F17" s="3" t="s">
        <v>37</v>
      </c>
      <c r="G17" s="3" t="s">
        <v>38</v>
      </c>
      <c r="H17" s="3" t="s">
        <v>69</v>
      </c>
      <c r="I17" s="3" t="s">
        <v>32</v>
      </c>
      <c r="J17" s="8" t="s">
        <v>33</v>
      </c>
      <c r="K17" s="3" t="s">
        <v>32</v>
      </c>
      <c r="L17" s="3" t="s">
        <v>32</v>
      </c>
    </row>
    <row r="18" ht="50" customHeight="1" spans="1:12" x14ac:dyDescent="0.25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85</v>
      </c>
      <c r="H18" s="3" t="s">
        <v>69</v>
      </c>
      <c r="I18" s="3" t="s">
        <v>32</v>
      </c>
      <c r="J18" s="8" t="s">
        <v>33</v>
      </c>
      <c r="K18" s="3" t="s">
        <v>32</v>
      </c>
      <c r="L18" s="3" t="s">
        <v>32</v>
      </c>
    </row>
  </sheetData>
  <autoFilter ref="A3:L18"/>
  <mergeCells count="2">
    <mergeCell ref="A1:L1"/>
    <mergeCell ref="A2:L2"/>
  </mergeCells>
  <dataValidations count="1">
    <dataValidation type="list" sqref="J4:J18">
      <formula1>"Not Run,Pass,Fail,Blocked"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2" customWidth="1"/>
    <col min="4" max="4" width="30" customWidth="1"/>
    <col min="5" max="5" width="32" customWidth="1"/>
    <col min="6" max="6" width="34" customWidth="1"/>
    <col min="7" max="7" width="16" customWidth="1"/>
    <col min="8" max="8" width="12" customWidth="1"/>
    <col min="9" max="9" width="28" customWidth="1"/>
    <col min="10" max="10" width="13" customWidth="1"/>
    <col min="11" max="12" width="25" customWidth="1"/>
  </cols>
  <sheetData>
    <row r="1" ht="34" customHeight="1" spans="1:12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4" customHeight="1" spans="1:12" s="6" customForma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</row>
    <row r="4" ht="50" customHeight="1" spans="1:12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30</v>
      </c>
      <c r="H4" s="3" t="s">
        <v>31</v>
      </c>
      <c r="I4" s="3" t="s">
        <v>32</v>
      </c>
      <c r="J4" s="8" t="s">
        <v>33</v>
      </c>
      <c r="K4" s="3" t="s">
        <v>32</v>
      </c>
      <c r="L4" s="3" t="s">
        <v>32</v>
      </c>
    </row>
    <row r="5" ht="50" customHeight="1" spans="1:12" x14ac:dyDescent="0.25">
      <c r="A5" s="3" t="s">
        <v>93</v>
      </c>
      <c r="B5" s="3" t="s">
        <v>88</v>
      </c>
      <c r="C5" s="3" t="s">
        <v>89</v>
      </c>
      <c r="D5" s="3" t="s">
        <v>94</v>
      </c>
      <c r="E5" s="3" t="s">
        <v>95</v>
      </c>
      <c r="F5" s="3" t="s">
        <v>96</v>
      </c>
      <c r="G5" s="3" t="s">
        <v>38</v>
      </c>
      <c r="H5" s="3" t="s">
        <v>31</v>
      </c>
      <c r="I5" s="3" t="s">
        <v>32</v>
      </c>
      <c r="J5" s="8" t="s">
        <v>33</v>
      </c>
      <c r="K5" s="3" t="s">
        <v>32</v>
      </c>
      <c r="L5" s="3" t="s">
        <v>32</v>
      </c>
    </row>
    <row r="6" ht="50" customHeight="1" spans="1:12" x14ac:dyDescent="0.25">
      <c r="A6" s="3" t="s">
        <v>97</v>
      </c>
      <c r="B6" s="3" t="s">
        <v>88</v>
      </c>
      <c r="C6" s="3" t="s">
        <v>89</v>
      </c>
      <c r="D6" s="3" t="s">
        <v>49</v>
      </c>
      <c r="E6" s="3" t="s">
        <v>98</v>
      </c>
      <c r="F6" s="3" t="s">
        <v>99</v>
      </c>
      <c r="G6" s="3" t="s">
        <v>51</v>
      </c>
      <c r="H6" s="3" t="s">
        <v>31</v>
      </c>
      <c r="I6" s="3" t="s">
        <v>32</v>
      </c>
      <c r="J6" s="8" t="s">
        <v>33</v>
      </c>
      <c r="K6" s="3" t="s">
        <v>32</v>
      </c>
      <c r="L6" s="3" t="s">
        <v>32</v>
      </c>
    </row>
    <row r="7" ht="50" customHeight="1" spans="1:12" x14ac:dyDescent="0.25">
      <c r="A7" s="3" t="s">
        <v>100</v>
      </c>
      <c r="B7" s="3" t="s">
        <v>88</v>
      </c>
      <c r="C7" s="3" t="s">
        <v>89</v>
      </c>
      <c r="D7" s="3" t="s">
        <v>53</v>
      </c>
      <c r="E7" s="3" t="s">
        <v>101</v>
      </c>
      <c r="F7" s="3" t="s">
        <v>99</v>
      </c>
      <c r="G7" s="3" t="s">
        <v>51</v>
      </c>
      <c r="H7" s="3" t="s">
        <v>31</v>
      </c>
      <c r="I7" s="3" t="s">
        <v>32</v>
      </c>
      <c r="J7" s="8" t="s">
        <v>33</v>
      </c>
      <c r="K7" s="3" t="s">
        <v>32</v>
      </c>
      <c r="L7" s="3" t="s">
        <v>32</v>
      </c>
    </row>
    <row r="8" ht="50" customHeight="1" spans="1:12" x14ac:dyDescent="0.25">
      <c r="A8" s="3" t="s">
        <v>102</v>
      </c>
      <c r="B8" s="3" t="s">
        <v>88</v>
      </c>
      <c r="C8" s="3" t="s">
        <v>89</v>
      </c>
      <c r="D8" s="3" t="s">
        <v>103</v>
      </c>
      <c r="E8" s="3" t="s">
        <v>104</v>
      </c>
      <c r="F8" s="3" t="s">
        <v>99</v>
      </c>
      <c r="G8" s="3" t="s">
        <v>105</v>
      </c>
      <c r="H8" s="3" t="s">
        <v>31</v>
      </c>
      <c r="I8" s="3" t="s">
        <v>32</v>
      </c>
      <c r="J8" s="8" t="s">
        <v>33</v>
      </c>
      <c r="K8" s="3" t="s">
        <v>32</v>
      </c>
      <c r="L8" s="3" t="s">
        <v>32</v>
      </c>
    </row>
    <row r="9" ht="50" customHeight="1" spans="1:12" x14ac:dyDescent="0.25">
      <c r="A9" s="3" t="s">
        <v>106</v>
      </c>
      <c r="B9" s="3" t="s">
        <v>88</v>
      </c>
      <c r="C9" s="3" t="s">
        <v>107</v>
      </c>
      <c r="D9" s="3" t="s">
        <v>108</v>
      </c>
      <c r="E9" s="3" t="s">
        <v>2</v>
      </c>
      <c r="F9" s="3" t="s">
        <v>109</v>
      </c>
      <c r="G9" s="3" t="s">
        <v>30</v>
      </c>
      <c r="H9" s="3" t="s">
        <v>69</v>
      </c>
      <c r="I9" s="3" t="s">
        <v>32</v>
      </c>
      <c r="J9" s="8" t="s">
        <v>33</v>
      </c>
      <c r="K9" s="3" t="s">
        <v>32</v>
      </c>
      <c r="L9" s="3" t="s">
        <v>32</v>
      </c>
    </row>
    <row r="10" ht="50" customHeight="1" spans="1:12" x14ac:dyDescent="0.25">
      <c r="A10" s="3" t="s">
        <v>110</v>
      </c>
      <c r="B10" s="3" t="s">
        <v>88</v>
      </c>
      <c r="C10" s="3" t="s">
        <v>107</v>
      </c>
      <c r="D10" s="3" t="s">
        <v>111</v>
      </c>
      <c r="E10" s="3" t="s">
        <v>112</v>
      </c>
      <c r="F10" s="3" t="s">
        <v>113</v>
      </c>
      <c r="G10" s="3" t="s">
        <v>51</v>
      </c>
      <c r="H10" s="3" t="s">
        <v>69</v>
      </c>
      <c r="I10" s="3" t="s">
        <v>32</v>
      </c>
      <c r="J10" s="8" t="s">
        <v>33</v>
      </c>
      <c r="K10" s="3" t="s">
        <v>32</v>
      </c>
      <c r="L10" s="3" t="s">
        <v>32</v>
      </c>
    </row>
    <row r="11" ht="50" customHeight="1" spans="1:12" x14ac:dyDescent="0.25">
      <c r="A11" s="3" t="s">
        <v>114</v>
      </c>
      <c r="B11" s="3" t="s">
        <v>115</v>
      </c>
      <c r="C11" s="3" t="s">
        <v>116</v>
      </c>
      <c r="D11" s="3" t="s">
        <v>117</v>
      </c>
      <c r="E11" s="3" t="s">
        <v>112</v>
      </c>
      <c r="F11" s="3" t="s">
        <v>118</v>
      </c>
      <c r="G11" s="3" t="s">
        <v>51</v>
      </c>
      <c r="H11" s="3" t="s">
        <v>31</v>
      </c>
      <c r="I11" s="3" t="s">
        <v>32</v>
      </c>
      <c r="J11" s="8" t="s">
        <v>33</v>
      </c>
      <c r="K11" s="3" t="s">
        <v>32</v>
      </c>
      <c r="L11" s="3" t="s">
        <v>32</v>
      </c>
    </row>
    <row r="12" ht="50" customHeight="1" spans="1:12" x14ac:dyDescent="0.25">
      <c r="A12" s="3" t="s">
        <v>119</v>
      </c>
      <c r="B12" s="3" t="s">
        <v>115</v>
      </c>
      <c r="C12" s="3" t="s">
        <v>116</v>
      </c>
      <c r="D12" s="3" t="s">
        <v>120</v>
      </c>
      <c r="E12" s="3" t="s">
        <v>121</v>
      </c>
      <c r="F12" s="3" t="s">
        <v>122</v>
      </c>
      <c r="G12" s="3" t="s">
        <v>30</v>
      </c>
      <c r="H12" s="3" t="s">
        <v>69</v>
      </c>
      <c r="I12" s="3" t="s">
        <v>32</v>
      </c>
      <c r="J12" s="8" t="s">
        <v>33</v>
      </c>
      <c r="K12" s="3" t="s">
        <v>32</v>
      </c>
      <c r="L12" s="3" t="s">
        <v>32</v>
      </c>
    </row>
    <row r="13" ht="50" customHeight="1" spans="1:12" x14ac:dyDescent="0.25">
      <c r="A13" s="3" t="s">
        <v>123</v>
      </c>
      <c r="B13" s="3" t="s">
        <v>124</v>
      </c>
      <c r="C13" s="3" t="s">
        <v>125</v>
      </c>
      <c r="D13" s="3" t="s">
        <v>126</v>
      </c>
      <c r="E13" s="3" t="s">
        <v>127</v>
      </c>
      <c r="F13" s="3" t="s">
        <v>128</v>
      </c>
      <c r="G13" s="3" t="s">
        <v>30</v>
      </c>
      <c r="H13" s="3" t="s">
        <v>31</v>
      </c>
      <c r="I13" s="3" t="s">
        <v>32</v>
      </c>
      <c r="J13" s="8" t="s">
        <v>33</v>
      </c>
      <c r="K13" s="3" t="s">
        <v>32</v>
      </c>
      <c r="L13" s="3" t="s">
        <v>32</v>
      </c>
    </row>
    <row r="14" ht="50" customHeight="1" spans="1:12" x14ac:dyDescent="0.25">
      <c r="A14" s="3" t="s">
        <v>129</v>
      </c>
      <c r="B14" s="3" t="s">
        <v>124</v>
      </c>
      <c r="C14" s="3" t="s">
        <v>125</v>
      </c>
      <c r="D14" s="3" t="s">
        <v>130</v>
      </c>
      <c r="E14" s="3" t="s">
        <v>131</v>
      </c>
      <c r="F14" s="3" t="s">
        <v>132</v>
      </c>
      <c r="G14" s="3" t="s">
        <v>133</v>
      </c>
      <c r="H14" s="3" t="s">
        <v>134</v>
      </c>
      <c r="I14" s="3" t="s">
        <v>32</v>
      </c>
      <c r="J14" s="8" t="s">
        <v>33</v>
      </c>
      <c r="K14" s="3" t="s">
        <v>32</v>
      </c>
      <c r="L14" s="3" t="s">
        <v>32</v>
      </c>
    </row>
    <row r="15" ht="50" customHeight="1" spans="1:12" x14ac:dyDescent="0.25">
      <c r="A15" s="3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30</v>
      </c>
      <c r="H15" s="3" t="s">
        <v>31</v>
      </c>
      <c r="I15" s="3" t="s">
        <v>32</v>
      </c>
      <c r="J15" s="8" t="s">
        <v>33</v>
      </c>
      <c r="K15" s="3" t="s">
        <v>32</v>
      </c>
      <c r="L15" s="3" t="s">
        <v>32</v>
      </c>
    </row>
    <row r="16" ht="50" customHeight="1" spans="1:12" x14ac:dyDescent="0.25">
      <c r="A16" s="3" t="s">
        <v>141</v>
      </c>
      <c r="B16" s="3" t="s">
        <v>136</v>
      </c>
      <c r="C16" s="3" t="s">
        <v>137</v>
      </c>
      <c r="D16" s="3" t="s">
        <v>142</v>
      </c>
      <c r="E16" s="3" t="s">
        <v>143</v>
      </c>
      <c r="F16" s="3" t="s">
        <v>144</v>
      </c>
      <c r="G16" s="3" t="s">
        <v>38</v>
      </c>
      <c r="H16" s="3" t="s">
        <v>31</v>
      </c>
      <c r="I16" s="3" t="s">
        <v>32</v>
      </c>
      <c r="J16" s="8" t="s">
        <v>33</v>
      </c>
      <c r="K16" s="3" t="s">
        <v>32</v>
      </c>
      <c r="L16" s="3" t="s">
        <v>32</v>
      </c>
    </row>
    <row r="17" ht="50" customHeight="1" spans="1:12" x14ac:dyDescent="0.25">
      <c r="A17" s="3" t="s">
        <v>145</v>
      </c>
      <c r="B17" s="3" t="s">
        <v>146</v>
      </c>
      <c r="C17" s="3" t="s">
        <v>147</v>
      </c>
      <c r="D17" s="3" t="s">
        <v>148</v>
      </c>
      <c r="E17" s="3" t="s">
        <v>149</v>
      </c>
      <c r="F17" s="3" t="s">
        <v>150</v>
      </c>
      <c r="G17" s="3" t="s">
        <v>30</v>
      </c>
      <c r="H17" s="3" t="s">
        <v>31</v>
      </c>
      <c r="I17" s="3" t="s">
        <v>32</v>
      </c>
      <c r="J17" s="8" t="s">
        <v>33</v>
      </c>
      <c r="K17" s="3" t="s">
        <v>32</v>
      </c>
      <c r="L17" s="3" t="s">
        <v>32</v>
      </c>
    </row>
    <row r="18" ht="50" customHeight="1" spans="1:12" x14ac:dyDescent="0.25">
      <c r="A18" s="3" t="s">
        <v>151</v>
      </c>
      <c r="B18" s="3" t="s">
        <v>146</v>
      </c>
      <c r="C18" s="3" t="s">
        <v>147</v>
      </c>
      <c r="D18" s="3" t="s">
        <v>152</v>
      </c>
      <c r="E18" s="3" t="s">
        <v>153</v>
      </c>
      <c r="F18" s="3" t="s">
        <v>154</v>
      </c>
      <c r="G18" s="3" t="s">
        <v>133</v>
      </c>
      <c r="H18" s="3" t="s">
        <v>134</v>
      </c>
      <c r="I18" s="3" t="s">
        <v>32</v>
      </c>
      <c r="J18" s="8" t="s">
        <v>33</v>
      </c>
      <c r="K18" s="3" t="s">
        <v>32</v>
      </c>
      <c r="L18" s="3" t="s">
        <v>32</v>
      </c>
    </row>
    <row r="19" ht="50" customHeight="1" spans="1:12" x14ac:dyDescent="0.25">
      <c r="A19" s="3" t="s">
        <v>155</v>
      </c>
      <c r="B19" s="3" t="s">
        <v>156</v>
      </c>
      <c r="C19" s="3" t="s">
        <v>157</v>
      </c>
      <c r="D19" s="3" t="s">
        <v>158</v>
      </c>
      <c r="E19" s="3" t="s">
        <v>159</v>
      </c>
      <c r="F19" s="3" t="s">
        <v>160</v>
      </c>
      <c r="G19" s="3" t="s">
        <v>105</v>
      </c>
      <c r="H19" s="3" t="s">
        <v>31</v>
      </c>
      <c r="I19" s="3" t="s">
        <v>32</v>
      </c>
      <c r="J19" s="8" t="s">
        <v>33</v>
      </c>
      <c r="K19" s="3" t="s">
        <v>32</v>
      </c>
      <c r="L19" s="3" t="s">
        <v>32</v>
      </c>
    </row>
    <row r="20" ht="50" customHeight="1" spans="1:12" x14ac:dyDescent="0.25">
      <c r="A20" s="3" t="s">
        <v>161</v>
      </c>
      <c r="B20" s="3" t="s">
        <v>162</v>
      </c>
      <c r="C20" s="3" t="s">
        <v>163</v>
      </c>
      <c r="D20" s="3" t="s">
        <v>164</v>
      </c>
      <c r="E20" s="3" t="s">
        <v>165</v>
      </c>
      <c r="F20" s="3" t="s">
        <v>166</v>
      </c>
      <c r="G20" s="3" t="s">
        <v>38</v>
      </c>
      <c r="H20" s="3" t="s">
        <v>69</v>
      </c>
      <c r="I20" s="3" t="s">
        <v>32</v>
      </c>
      <c r="J20" s="8" t="s">
        <v>33</v>
      </c>
      <c r="K20" s="3" t="s">
        <v>32</v>
      </c>
      <c r="L20" s="3" t="s">
        <v>32</v>
      </c>
    </row>
    <row r="21" ht="50" customHeight="1" spans="1:12" x14ac:dyDescent="0.25">
      <c r="A21" s="3" t="s">
        <v>167</v>
      </c>
      <c r="B21" s="3" t="s">
        <v>168</v>
      </c>
      <c r="C21" s="3" t="s">
        <v>169</v>
      </c>
      <c r="D21" s="3" t="s">
        <v>170</v>
      </c>
      <c r="E21" s="3" t="s">
        <v>171</v>
      </c>
      <c r="F21" s="3" t="s">
        <v>172</v>
      </c>
      <c r="G21" s="3" t="s">
        <v>38</v>
      </c>
      <c r="H21" s="3" t="s">
        <v>69</v>
      </c>
      <c r="I21" s="3" t="s">
        <v>32</v>
      </c>
      <c r="J21" s="8" t="s">
        <v>33</v>
      </c>
      <c r="K21" s="3" t="s">
        <v>32</v>
      </c>
      <c r="L21" s="3" t="s">
        <v>32</v>
      </c>
    </row>
    <row r="22" ht="50" customHeight="1" spans="1:12" x14ac:dyDescent="0.25">
      <c r="A22" s="3" t="s">
        <v>173</v>
      </c>
      <c r="B22" s="3" t="s">
        <v>174</v>
      </c>
      <c r="C22" s="3" t="s">
        <v>175</v>
      </c>
      <c r="D22" s="3" t="s">
        <v>176</v>
      </c>
      <c r="E22" s="3" t="s">
        <v>177</v>
      </c>
      <c r="F22" s="3" t="s">
        <v>178</v>
      </c>
      <c r="G22" s="3" t="s">
        <v>179</v>
      </c>
      <c r="H22" s="3" t="s">
        <v>69</v>
      </c>
      <c r="I22" s="3" t="s">
        <v>32</v>
      </c>
      <c r="J22" s="8" t="s">
        <v>33</v>
      </c>
      <c r="K22" s="3" t="s">
        <v>32</v>
      </c>
      <c r="L22" s="3" t="s">
        <v>32</v>
      </c>
    </row>
    <row r="23" ht="50" customHeight="1" spans="1:12" x14ac:dyDescent="0.25">
      <c r="A23" s="3" t="s">
        <v>180</v>
      </c>
      <c r="B23" s="3" t="s">
        <v>181</v>
      </c>
      <c r="C23" s="3" t="s">
        <v>182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31</v>
      </c>
      <c r="I23" s="3" t="s">
        <v>32</v>
      </c>
      <c r="J23" s="8" t="s">
        <v>33</v>
      </c>
      <c r="K23" s="3" t="s">
        <v>32</v>
      </c>
      <c r="L23" s="3" t="s">
        <v>32</v>
      </c>
    </row>
  </sheetData>
  <autoFilter ref="A3:L23"/>
  <mergeCells count="2">
    <mergeCell ref="A1:L1"/>
    <mergeCell ref="A2:L2"/>
  </mergeCells>
  <dataValidations count="1">
    <dataValidation type="list" sqref="J4:J23">
      <formula1>"Not Run,Pass,Fail,Blocked"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9" customWidth="1"/>
    <col min="3" max="3" width="30" customWidth="1"/>
    <col min="4" max="4" width="19" customWidth="1"/>
    <col min="5" max="5" width="12" customWidth="1"/>
    <col min="6" max="6" width="48" customWidth="1"/>
    <col min="7" max="7" width="20" customWidth="1"/>
    <col min="8" max="8" width="28" customWidth="1"/>
  </cols>
  <sheetData>
    <row r="1" ht="34" customHeight="1" spans="1:8" x14ac:dyDescent="0.25">
      <c r="A1" s="1" t="s">
        <v>187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188</v>
      </c>
      <c r="B2"/>
      <c r="C2"/>
      <c r="D2"/>
      <c r="E2"/>
      <c r="F2"/>
      <c r="G2"/>
      <c r="H2"/>
    </row>
    <row r="3" ht="34" customHeight="1" spans="1:8" s="6" customFormat="1" x14ac:dyDescent="0.25">
      <c r="A3" s="7" t="s">
        <v>189</v>
      </c>
      <c r="B3" s="7" t="s">
        <v>190</v>
      </c>
      <c r="C3" s="7" t="s">
        <v>191</v>
      </c>
      <c r="D3" s="7" t="s">
        <v>192</v>
      </c>
      <c r="E3" s="7" t="s">
        <v>193</v>
      </c>
      <c r="F3" s="7" t="s">
        <v>194</v>
      </c>
      <c r="G3" s="7" t="s">
        <v>195</v>
      </c>
      <c r="H3" s="7" t="s">
        <v>196</v>
      </c>
    </row>
    <row r="4" ht="48" customHeight="1" spans="1:8" x14ac:dyDescent="0.25">
      <c r="A4" s="3" t="s">
        <v>197</v>
      </c>
      <c r="B4" s="3" t="s">
        <v>198</v>
      </c>
      <c r="C4" s="3" t="s">
        <v>199</v>
      </c>
      <c r="D4" s="3" t="s">
        <v>200</v>
      </c>
      <c r="E4" s="3" t="s">
        <v>31</v>
      </c>
      <c r="F4" s="3" t="s">
        <v>201</v>
      </c>
      <c r="G4" s="3" t="s">
        <v>202</v>
      </c>
      <c r="H4" s="3" t="s">
        <v>32</v>
      </c>
    </row>
    <row r="5" ht="48" customHeight="1" spans="1:8" x14ac:dyDescent="0.25">
      <c r="A5" s="3" t="s">
        <v>203</v>
      </c>
      <c r="B5" s="3" t="s">
        <v>198</v>
      </c>
      <c r="C5" s="3" t="s">
        <v>204</v>
      </c>
      <c r="D5" s="3" t="s">
        <v>205</v>
      </c>
      <c r="E5" s="3" t="s">
        <v>69</v>
      </c>
      <c r="F5" s="3" t="s">
        <v>206</v>
      </c>
      <c r="G5" s="3" t="s">
        <v>202</v>
      </c>
      <c r="H5" s="3" t="s">
        <v>32</v>
      </c>
    </row>
    <row r="6" ht="48" customHeight="1" spans="1:8" x14ac:dyDescent="0.25">
      <c r="A6" s="3" t="s">
        <v>207</v>
      </c>
      <c r="B6" s="3" t="s">
        <v>208</v>
      </c>
      <c r="C6" s="3" t="s">
        <v>209</v>
      </c>
      <c r="D6" s="3" t="s">
        <v>210</v>
      </c>
      <c r="E6" s="3" t="s">
        <v>31</v>
      </c>
      <c r="F6" s="3" t="s">
        <v>211</v>
      </c>
      <c r="G6" s="3" t="s">
        <v>202</v>
      </c>
      <c r="H6" s="3" t="s">
        <v>32</v>
      </c>
    </row>
    <row r="7" ht="48" customHeight="1" spans="1:8" x14ac:dyDescent="0.25">
      <c r="A7" s="3" t="s">
        <v>212</v>
      </c>
      <c r="B7" s="3" t="s">
        <v>213</v>
      </c>
      <c r="C7" s="3" t="s">
        <v>214</v>
      </c>
      <c r="D7" s="3" t="s">
        <v>215</v>
      </c>
      <c r="E7" s="3" t="s">
        <v>134</v>
      </c>
      <c r="F7" s="3" t="s">
        <v>216</v>
      </c>
      <c r="G7" s="3" t="s">
        <v>202</v>
      </c>
      <c r="H7" s="3" t="s">
        <v>32</v>
      </c>
    </row>
    <row r="8" ht="48" customHeight="1" spans="1:8" x14ac:dyDescent="0.25">
      <c r="A8" s="3" t="s">
        <v>217</v>
      </c>
      <c r="B8" s="3" t="s">
        <v>218</v>
      </c>
      <c r="C8" s="3" t="s">
        <v>219</v>
      </c>
      <c r="D8" s="3" t="s">
        <v>210</v>
      </c>
      <c r="E8" s="3" t="s">
        <v>31</v>
      </c>
      <c r="F8" s="3" t="s">
        <v>220</v>
      </c>
      <c r="G8" s="3" t="s">
        <v>202</v>
      </c>
      <c r="H8" s="3" t="s">
        <v>32</v>
      </c>
    </row>
    <row r="9" ht="48" customHeight="1" spans="1:8" x14ac:dyDescent="0.25">
      <c r="A9" s="3" t="s">
        <v>221</v>
      </c>
      <c r="B9" s="3" t="s">
        <v>222</v>
      </c>
      <c r="C9" s="3" t="s">
        <v>223</v>
      </c>
      <c r="D9" s="3" t="s">
        <v>215</v>
      </c>
      <c r="E9" s="3" t="s">
        <v>134</v>
      </c>
      <c r="F9" s="3" t="s">
        <v>224</v>
      </c>
      <c r="G9" s="3" t="s">
        <v>202</v>
      </c>
      <c r="H9" s="3" t="s">
        <v>32</v>
      </c>
    </row>
    <row r="10" ht="48" customHeight="1" spans="1:8" x14ac:dyDescent="0.25">
      <c r="A10" s="3" t="s">
        <v>225</v>
      </c>
      <c r="B10" s="3" t="s">
        <v>226</v>
      </c>
      <c r="C10" s="3" t="s">
        <v>227</v>
      </c>
      <c r="D10" s="3" t="s">
        <v>205</v>
      </c>
      <c r="E10" s="3" t="s">
        <v>69</v>
      </c>
      <c r="F10" s="3" t="s">
        <v>228</v>
      </c>
      <c r="G10" s="3" t="s">
        <v>202</v>
      </c>
      <c r="H10" s="3" t="s">
        <v>32</v>
      </c>
    </row>
    <row r="11" ht="48" customHeight="1" spans="1:8" x14ac:dyDescent="0.25">
      <c r="A11" s="3" t="s">
        <v>229</v>
      </c>
      <c r="B11" s="3" t="s">
        <v>230</v>
      </c>
      <c r="C11" s="3" t="s">
        <v>231</v>
      </c>
      <c r="D11" s="3" t="s">
        <v>205</v>
      </c>
      <c r="E11" s="3" t="s">
        <v>232</v>
      </c>
      <c r="F11" s="3" t="s">
        <v>233</v>
      </c>
      <c r="G11" s="3" t="s">
        <v>202</v>
      </c>
      <c r="H11" s="3" t="s">
        <v>32</v>
      </c>
    </row>
    <row r="12" ht="48" customHeight="1" spans="1:8" x14ac:dyDescent="0.25">
      <c r="A12" s="3" t="s">
        <v>234</v>
      </c>
      <c r="B12" s="3" t="s">
        <v>235</v>
      </c>
      <c r="C12" s="3" t="s">
        <v>236</v>
      </c>
      <c r="D12" s="3" t="s">
        <v>205</v>
      </c>
      <c r="E12" s="3" t="s">
        <v>232</v>
      </c>
      <c r="F12" s="3" t="s">
        <v>237</v>
      </c>
      <c r="G12" s="3" t="s">
        <v>202</v>
      </c>
      <c r="H12" s="3" t="s">
        <v>32</v>
      </c>
    </row>
    <row r="13" ht="48" customHeight="1" spans="1:8" x14ac:dyDescent="0.25">
      <c r="A13" s="3" t="s">
        <v>238</v>
      </c>
      <c r="B13" s="3" t="s">
        <v>239</v>
      </c>
      <c r="C13" s="3" t="s">
        <v>240</v>
      </c>
      <c r="D13" s="3" t="s">
        <v>205</v>
      </c>
      <c r="E13" s="3" t="s">
        <v>69</v>
      </c>
      <c r="F13" s="3" t="s">
        <v>241</v>
      </c>
      <c r="G13" s="3" t="s">
        <v>202</v>
      </c>
      <c r="H13" s="3" t="s">
        <v>32</v>
      </c>
    </row>
  </sheetData>
  <mergeCells count="2">
    <mergeCell ref="A1:H1"/>
    <mergeCell ref="A2:H2"/>
  </mergeCells>
  <dataValidations count="1">
    <dataValidation type="list" sqref="G4:G13">
      <formula1>"Not Verified,Resolved,Partially Resolved,Accepted"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8" customWidth="1"/>
    <col min="2" max="6" width="12" customWidth="1"/>
    <col min="7" max="7" width="14" customWidth="1"/>
    <col min="8" max="8" width="38" customWidth="1"/>
  </cols>
  <sheetData>
    <row r="1" ht="34" customHeight="1" spans="1:8" x14ac:dyDescent="0.25">
      <c r="A1" s="1" t="s">
        <v>242</v>
      </c>
      <c r="B1" s="1"/>
      <c r="C1" s="1"/>
      <c r="D1" s="1"/>
      <c r="E1" s="1"/>
      <c r="F1" s="1"/>
      <c r="G1" s="1"/>
      <c r="H1" s="1"/>
    </row>
    <row r="3" ht="34" customHeight="1" spans="1:8" s="6" customFormat="1" x14ac:dyDescent="0.25">
      <c r="A3" s="7" t="s">
        <v>243</v>
      </c>
      <c r="B3" s="7" t="s">
        <v>244</v>
      </c>
      <c r="C3" s="7" t="s">
        <v>33</v>
      </c>
      <c r="D3" s="7" t="s">
        <v>245</v>
      </c>
      <c r="E3" s="7" t="s">
        <v>246</v>
      </c>
      <c r="F3" s="7" t="s">
        <v>247</v>
      </c>
      <c r="G3" s="7" t="s">
        <v>248</v>
      </c>
      <c r="H3" s="7" t="s">
        <v>23</v>
      </c>
    </row>
    <row r="4" spans="1:8" x14ac:dyDescent="0.25">
      <c r="A4" s="3" t="s">
        <v>249</v>
      </c>
      <c r="B4" s="3">
        <v>15</v>
      </c>
      <c r="C4" s="3">
        <f>COUNTIF('Lab2_Unit_Tests'!J4:J100,"Not Run")</f>
      </c>
      <c r="D4" s="3">
        <f>COUNTIF('Lab2_Unit_Tests'!J4:J100,"Pass")</f>
      </c>
      <c r="E4" s="3">
        <f>COUNTIF('Lab2_Unit_Tests'!J4:J100,"Fail")</f>
      </c>
      <c r="F4" s="3">
        <f>COUNTIF('Lab2_Unit_Tests'!J4:J100,"Blocked")</f>
      </c>
      <c r="G4" s="9">
        <f>IFERROR(D4/(D4+E4),0)</f>
      </c>
      <c r="H4" s="3" t="s">
        <v>250</v>
      </c>
    </row>
    <row r="5" spans="1:8" x14ac:dyDescent="0.25">
      <c r="A5" s="3" t="s">
        <v>251</v>
      </c>
      <c r="B5" s="3">
        <v>20</v>
      </c>
      <c r="C5" s="3">
        <f>COUNTIF('Lab3_Unit_Tests'!J4:J100,"Not Run")</f>
      </c>
      <c r="D5" s="3">
        <f>COUNTIF('Lab3_Unit_Tests'!J4:J100,"Pass")</f>
      </c>
      <c r="E5" s="3">
        <f>COUNTIF('Lab3_Unit_Tests'!J4:J100,"Fail")</f>
      </c>
      <c r="F5" s="3">
        <f>COUNTIF('Lab3_Unit_Tests'!J4:J100,"Blocked")</f>
      </c>
      <c r="G5" s="9">
        <f>IFERROR(D5/(D5+E5),0)</f>
      </c>
      <c r="H5" s="3" t="s">
        <v>250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Thông tin</vt:lpstr>
      <vt:lpstr>Lab2_Unit_Tests</vt:lpstr>
      <vt:lpstr>Lab3_Unit_Tests</vt:lpstr>
      <vt:lpstr>Lab3_Findings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Thị Diệp Minh</dc:creator>
  <dc:title/>
  <dc:subject/>
  <dc:description/>
  <cp:keywords/>
  <cp:category/>
  <cp:lastModifiedBy>Unknown</cp:lastModifiedBy>
  <dcterms:created xsi:type="dcterms:W3CDTF">2026-07-20T08:29:27Z</dcterms:created>
  <dcterms:modified xsi:type="dcterms:W3CDTF">2026-07-20T08:29:27Z</dcterms:modified>
</cp:coreProperties>
</file>